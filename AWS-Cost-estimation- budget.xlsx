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nkar\Desktop\Sectr-Consol\"/>
    </mc:Choice>
  </mc:AlternateContent>
  <xr:revisionPtr revIDLastSave="0" documentId="13_ncr:1_{CE17687F-A79D-46A2-9A34-5C73401F17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v" sheetId="4" r:id="rId1"/>
    <sheet name="Initial-budgets-Prd" sheetId="3" r:id="rId2"/>
    <sheet name="low-budgets-Prd" sheetId="2" r:id="rId3"/>
    <sheet name="AWS best practices-Prd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5" l="1"/>
  <c r="C17" i="5"/>
  <c r="G14" i="2"/>
  <c r="B9" i="4"/>
  <c r="C13" i="4" s="1"/>
  <c r="B9" i="3"/>
  <c r="C13" i="3" s="1"/>
  <c r="B9" i="2"/>
  <c r="C17" i="2" s="1"/>
  <c r="G13" i="5"/>
  <c r="G12" i="5"/>
  <c r="G11" i="5"/>
  <c r="G10" i="5"/>
  <c r="G9" i="5"/>
  <c r="G8" i="5"/>
  <c r="G7" i="5"/>
  <c r="A7" i="5"/>
  <c r="G6" i="5"/>
  <c r="A6" i="5"/>
  <c r="G10" i="4"/>
  <c r="G8" i="4"/>
  <c r="G7" i="4"/>
  <c r="A7" i="4"/>
  <c r="G6" i="4"/>
  <c r="A6" i="4"/>
  <c r="G10" i="3"/>
  <c r="G8" i="3"/>
  <c r="G7" i="3"/>
  <c r="A7" i="3"/>
  <c r="G6" i="3"/>
  <c r="A6" i="3"/>
  <c r="G7" i="2"/>
  <c r="A7" i="2"/>
  <c r="G8" i="2"/>
  <c r="G11" i="2"/>
  <c r="G13" i="2"/>
  <c r="G12" i="2"/>
  <c r="G10" i="2"/>
  <c r="G6" i="2"/>
  <c r="A6" i="2"/>
  <c r="H15" i="5" l="1"/>
  <c r="G15" i="5"/>
  <c r="G15" i="2"/>
  <c r="C15" i="4"/>
  <c r="C14" i="4"/>
  <c r="G9" i="4"/>
  <c r="H11" i="4" s="1"/>
  <c r="C18" i="2"/>
  <c r="G9" i="3"/>
  <c r="G11" i="3" s="1"/>
  <c r="C14" i="3"/>
  <c r="H11" i="3"/>
  <c r="C15" i="3"/>
  <c r="C19" i="2"/>
  <c r="G9" i="2"/>
  <c r="H15" i="2" l="1"/>
  <c r="C19" i="5"/>
  <c r="C18" i="5"/>
  <c r="G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onkar</author>
  </authors>
  <commentList>
    <comment ref="C6" authorId="0" shapeId="0" xr:uid="{6D7FF4C1-0AAA-4363-82B9-58972DF1DCE9}">
      <text>
        <r>
          <rPr>
            <sz val="10"/>
            <color rgb="FF000000"/>
            <rFont val="Arial"/>
            <family val="2"/>
          </rPr>
          <t>Assumes: EC2 instance running all month
t4g.medium $0.0112hourly On Demand Linux 2 GiB 2 vCPUs  EBS only</t>
        </r>
      </text>
    </comment>
    <comment ref="C7" authorId="0" shapeId="0" xr:uid="{1E6DE5FD-C5DC-4428-A1EF-1453538EC036}">
      <text>
        <r>
          <rPr>
            <sz val="10"/>
            <color rgb="FF000000"/>
            <rFont val="Arial"/>
            <family val="2"/>
          </rPr>
          <t>Assumes: EC2 instance running all month
t4g.micro $0.0056hourly On Demand Linux 1 GiB, 2 vCPUs  EBS only</t>
        </r>
      </text>
    </comment>
    <comment ref="C8" authorId="1" shapeId="0" xr:uid="{1CDF733C-FA11-4840-AA8F-2FD014F77824}">
      <text>
        <r>
          <rPr>
            <b/>
            <sz val="9"/>
            <color indexed="81"/>
            <rFont val="Tahoma"/>
            <charset val="1"/>
          </rPr>
          <t>$0.005 per In-use public IPv4 address per hour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9" authorId="0" shapeId="0" xr:uid="{16D4CCCE-876E-44D7-924D-B6C3DD626519}">
      <text>
        <r>
          <rPr>
            <b/>
            <sz val="9"/>
            <color indexed="81"/>
            <rFont val="Tahoma"/>
            <family val="2"/>
          </rPr>
          <t>$0.0912 per GB-month of General Purpose (gp3) provisioned storage</t>
        </r>
      </text>
    </comment>
    <comment ref="C10" authorId="0" shapeId="0" xr:uid="{4A60F0C7-DA0B-4A44-8787-5C5F13CE59C3}">
      <text>
        <r>
          <rPr>
            <sz val="10"/>
            <color rgb="FF000000"/>
            <rFont val="Arial"/>
            <family val="2"/>
          </rPr>
          <t>Estimate based on current uses approx less then  1000 Metrics:
$0.30 per metric-month for the first 10,000 metrics - Asia Pacific (Mumbai)</t>
        </r>
      </text>
    </comment>
    <comment ref="A14" authorId="0" shapeId="0" xr:uid="{D1FF10E0-2F81-4FB5-A0BA-CF1A9B8F376D}">
      <text>
        <r>
          <rPr>
            <sz val="10"/>
            <color rgb="FF000000"/>
            <rFont val="Arial"/>
            <family val="2"/>
          </rPr>
          <t>Assumes 30 days per month</t>
        </r>
      </text>
    </comment>
    <comment ref="A15" authorId="0" shapeId="0" xr:uid="{BD2A6D6E-1DEE-4CC8-A2E8-83C9E3A9732E}">
      <text>
        <r>
          <rPr>
            <sz val="10"/>
            <color rgb="FF000000"/>
            <rFont val="Arial"/>
            <family val="2"/>
          </rPr>
          <t>Assumes 720 hours per month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onkar</author>
  </authors>
  <commentList>
    <comment ref="C6" authorId="0" shapeId="0" xr:uid="{84BACD1D-A218-4A2B-A40A-E5BF4163C022}">
      <text>
        <r>
          <rPr>
            <sz val="10"/>
            <color rgb="FF000000"/>
            <rFont val="Arial"/>
            <family val="2"/>
          </rPr>
          <t>Assumes: EC2 instance running all month
t4g.medium $0.0224hourly On Demand Linux 4 GiB 2 vCPUs  EBS only</t>
        </r>
      </text>
    </comment>
    <comment ref="C7" authorId="0" shapeId="0" xr:uid="{2B873E71-F30B-4ABE-8B86-EA083B6A08C1}">
      <text>
        <r>
          <rPr>
            <sz val="10"/>
            <color rgb="FF000000"/>
            <rFont val="Arial"/>
            <family val="2"/>
          </rPr>
          <t>Assumes: EC2 instance running all month
t4g.micro $0.0056hourly On Demand Linux 1 GiB, 2 vCPUs  EBS only</t>
        </r>
      </text>
    </comment>
    <comment ref="C8" authorId="1" shapeId="0" xr:uid="{E2328B2B-DC9B-4FF5-B7F6-74BF4B30D794}">
      <text>
        <r>
          <rPr>
            <b/>
            <sz val="9"/>
            <color indexed="81"/>
            <rFont val="Tahoma"/>
            <charset val="1"/>
          </rPr>
          <t>$0.005 per In-use public IPv4 address per hour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9" authorId="0" shapeId="0" xr:uid="{0A51472F-42F6-4936-AC0D-91FF1803F8EF}">
      <text>
        <r>
          <rPr>
            <b/>
            <sz val="9"/>
            <color indexed="81"/>
            <rFont val="Tahoma"/>
            <family val="2"/>
          </rPr>
          <t>$0.0912 per GB-month of General Purpose (gp3) provisioned storage</t>
        </r>
      </text>
    </comment>
    <comment ref="C10" authorId="0" shapeId="0" xr:uid="{96413326-61D3-4FEE-A37E-2440B37380C8}">
      <text>
        <r>
          <rPr>
            <sz val="10"/>
            <color rgb="FF000000"/>
            <rFont val="Arial"/>
            <family val="2"/>
          </rPr>
          <t>Estimate based on current uses approx less then  1000 Metrics:
$0.30 per metric-month for the first 10,000 metrics - Asia Pacific (Mumbai)</t>
        </r>
      </text>
    </comment>
    <comment ref="A14" authorId="0" shapeId="0" xr:uid="{E1092DEA-4442-4FF2-8B25-194A25E3F8E9}">
      <text>
        <r>
          <rPr>
            <sz val="10"/>
            <color rgb="FF000000"/>
            <rFont val="Arial"/>
            <family val="2"/>
          </rPr>
          <t>Assumes 30 days per month</t>
        </r>
      </text>
    </comment>
    <comment ref="A15" authorId="0" shapeId="0" xr:uid="{AC3041F5-7D0D-4DEE-80EA-74064C1D9558}">
      <text>
        <r>
          <rPr>
            <sz val="10"/>
            <color rgb="FF000000"/>
            <rFont val="Arial"/>
            <family val="2"/>
          </rPr>
          <t>Assumes 720 hours per month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onkar</author>
  </authors>
  <commentList>
    <comment ref="C6" authorId="0" shapeId="0" xr:uid="{E387C3C1-550D-4FDF-A581-67D8088289F2}">
      <text>
        <r>
          <rPr>
            <sz val="10"/>
            <color rgb="FF000000"/>
            <rFont val="Arial"/>
            <family val="2"/>
          </rPr>
          <t>Assumes: EC2 instance running all month
t4g.medium $0.0224hourly On Demand Linux 4 GiB 2 vCPUs  EBS only</t>
        </r>
      </text>
    </comment>
    <comment ref="C7" authorId="0" shapeId="0" xr:uid="{B88A9438-E300-4AC6-9E48-865B8B2F3C04}">
      <text>
        <r>
          <rPr>
            <sz val="10"/>
            <color rgb="FF000000"/>
            <rFont val="Arial"/>
            <family val="2"/>
          </rPr>
          <t>Assumes: EC2 instance running all month
t4g.micro $0.0056hourly On Demand Linux 1 GiB, 2 vCPUs  EBS only</t>
        </r>
      </text>
    </comment>
    <comment ref="C8" authorId="1" shapeId="0" xr:uid="{D59787EB-7138-4A88-A74D-BCCB18DC3C24}">
      <text>
        <r>
          <rPr>
            <b/>
            <sz val="9"/>
            <color indexed="81"/>
            <rFont val="Tahoma"/>
            <charset val="1"/>
          </rPr>
          <t>$0.005 per In-use public IPv4 address per hour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9" authorId="0" shapeId="0" xr:uid="{6A48DB70-DC2A-454D-AD95-DAB49DB22E7A}">
      <text>
        <r>
          <rPr>
            <b/>
            <sz val="9"/>
            <color indexed="81"/>
            <rFont val="Tahoma"/>
            <family val="2"/>
          </rPr>
          <t>$0.0912 per GB-month of General Purpose (gp3) provisioned storage</t>
        </r>
      </text>
    </comment>
    <comment ref="C10" authorId="0" shapeId="0" xr:uid="{6DC0462E-18C9-4431-A39F-EBC84712F4DA}">
      <text>
        <r>
          <rPr>
            <b/>
            <sz val="9"/>
            <color indexed="81"/>
            <rFont val="Tahoma"/>
            <family val="2"/>
          </rPr>
          <t>Metered size 5 GB
All storage classes - Reads (per GB transferred) + Writes (per GB transferred) = $0.03 + $0.07 = $0.1 / GB Transfer / month</t>
        </r>
      </text>
    </comment>
    <comment ref="C11" authorId="0" shapeId="0" xr:uid="{DE2F2FB8-0543-4CBE-80C2-2E752E3BE290}">
      <text>
        <r>
          <rPr>
            <sz val="10"/>
            <color rgb="FF000000"/>
            <rFont val="Arial"/>
            <family val="2"/>
          </rPr>
          <t xml:space="preserve">$0.0239 per Application Load Balancer-hour </t>
        </r>
      </text>
    </comment>
    <comment ref="C12" authorId="0" shapeId="0" xr:uid="{100CF58A-6E51-43F6-BBEC-CDA015236AD2}">
      <text>
        <r>
          <rPr>
            <sz val="10"/>
            <color rgb="FF000000"/>
            <rFont val="Arial"/>
            <family val="2"/>
          </rPr>
          <t>Assumes:
 - 1 db.t4g.micro instance, Memory 1 GB, vCPU 2
 - Running all month
0.021 per RDS db.t4g.micro Single-AZ instance hour (or partial hour) running MySQL= $15.12
0.131 per GB-month of provisioned GP3 storage running MySQL 20 GB = $2.62</t>
        </r>
      </text>
    </comment>
    <comment ref="C13" authorId="0" shapeId="0" xr:uid="{2B3B672F-8792-485D-8116-EBE5A9FC7776}">
      <text>
        <r>
          <rPr>
            <sz val="10"/>
            <color rgb="FF000000"/>
            <rFont val="Arial"/>
            <family val="2"/>
          </rPr>
          <t>Estimate based on current uses approx less then  1000 Metrics:
$0.30 per metric-month for the first 10,000 metrics - Asia Pacific (Mumbai)</t>
        </r>
      </text>
    </comment>
    <comment ref="A18" authorId="0" shapeId="0" xr:uid="{363DF3C7-8455-44DB-9AC9-B00BCE7C2934}">
      <text>
        <r>
          <rPr>
            <sz val="10"/>
            <color rgb="FF000000"/>
            <rFont val="Arial"/>
            <family val="2"/>
          </rPr>
          <t>Assumes 30 days per month</t>
        </r>
      </text>
    </comment>
    <comment ref="A19" authorId="0" shapeId="0" xr:uid="{E60DD47C-BB8F-4C70-B3C7-39B7550A969A}">
      <text>
        <r>
          <rPr>
            <sz val="10"/>
            <color rgb="FF000000"/>
            <rFont val="Arial"/>
            <family val="2"/>
          </rPr>
          <t>Assumes 720 hours per month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onkar</author>
  </authors>
  <commentList>
    <comment ref="C6" authorId="0" shapeId="0" xr:uid="{3BE7818F-1059-41E5-B1D1-9E8657B3C5B2}">
      <text>
        <r>
          <rPr>
            <sz val="10"/>
            <color rgb="FF000000"/>
            <rFont val="Arial"/>
            <family val="2"/>
          </rPr>
          <t>Assumes: EC2 instance running all month
t4g.medium $0.0112hourly On Demand Linux 2 GiB 2 vCPUs  EBS only</t>
        </r>
      </text>
    </comment>
    <comment ref="C7" authorId="0" shapeId="0" xr:uid="{9EDDD15C-B9E8-4990-884C-887AA895D5B3}">
      <text>
        <r>
          <rPr>
            <sz val="10"/>
            <color rgb="FF000000"/>
            <rFont val="Arial"/>
            <family val="2"/>
          </rPr>
          <t>Assumes: EC2 instance running all month
t4g.micro $0.0056hourly On Demand Linux 1 GiB, 2 vCPUs  EBS only</t>
        </r>
      </text>
    </comment>
    <comment ref="C8" authorId="1" shapeId="0" xr:uid="{B0E6D407-7321-4F5E-BCD8-DBB72D2E27A9}">
      <text>
        <r>
          <rPr>
            <b/>
            <sz val="9"/>
            <color indexed="81"/>
            <rFont val="Tahoma"/>
            <charset val="1"/>
          </rPr>
          <t>$0.005 per In-use public IPv4 address per hour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9" authorId="0" shapeId="0" xr:uid="{4E585368-0507-4CC8-9B0A-D36D311A1320}">
      <text>
        <r>
          <rPr>
            <b/>
            <sz val="9"/>
            <color indexed="81"/>
            <rFont val="Tahoma"/>
            <family val="2"/>
          </rPr>
          <t>$0.0912 per GB-month of General Purpose (gp3) provisioned storage</t>
        </r>
      </text>
    </comment>
    <comment ref="C10" authorId="0" shapeId="0" xr:uid="{FCC3488A-D844-4E21-9D70-304B419DA5FE}">
      <text>
        <r>
          <rPr>
            <b/>
            <sz val="9"/>
            <color indexed="81"/>
            <rFont val="Tahoma"/>
            <family val="2"/>
          </rPr>
          <t>Metered size 5 GB
All storage classes - Reads (per GB transferred) + Writes (per GB transferred) = $0.03 + $0.07 = $0.1 / GB Transfer / month</t>
        </r>
      </text>
    </comment>
    <comment ref="C11" authorId="0" shapeId="0" xr:uid="{CA89B2AB-F15B-4C6A-A96F-1ACA6CE7B677}">
      <text>
        <r>
          <rPr>
            <sz val="10"/>
            <color rgb="FF000000"/>
            <rFont val="Arial"/>
            <family val="2"/>
          </rPr>
          <t xml:space="preserve">$0.0239 per Application Load Balancer-hour </t>
        </r>
      </text>
    </comment>
    <comment ref="C12" authorId="0" shapeId="0" xr:uid="{D6DAAB55-9B55-4892-885A-69A19FCEA827}">
      <text>
        <r>
          <rPr>
            <sz val="10"/>
            <color rgb="FF000000"/>
            <rFont val="Arial"/>
            <family val="2"/>
          </rPr>
          <t>Assumes:
 - 1 db.t4g.small instance, Memory 2 GB, vCPU 2
 - Running all month
0. $0.042 hourly per RDS db.t4g.small MultiAZ instance hour (or partial hour) running MySQL= $30.24
0.131 per GB-month of provisioned GP3 storage running MySQL 20 GB = $5.24</t>
        </r>
      </text>
    </comment>
    <comment ref="C13" authorId="0" shapeId="0" xr:uid="{8186BE0C-4929-4F9F-9CFA-F05F84C65D18}">
      <text>
        <r>
          <rPr>
            <sz val="10"/>
            <color rgb="FF000000"/>
            <rFont val="Arial"/>
            <family val="2"/>
          </rPr>
          <t>Estimate based on current uses approx less then  1000 Metrics:
$0.30 per metric-month for the first 10,000 metrics - Asia Pacific (Mumbai)</t>
        </r>
      </text>
    </comment>
    <comment ref="C14" authorId="1" shapeId="0" xr:uid="{0AA880E3-8A74-4F7D-A210-D15AC3568C80}">
      <text>
        <r>
          <rPr>
            <b/>
            <sz val="9"/>
            <color indexed="81"/>
            <rFont val="Tahoma"/>
            <charset val="1"/>
          </rPr>
          <t>db.t4g.small 2 vCPU , 1.37 GB memory , $0.0427 / hr
$30.74/ month</t>
        </r>
      </text>
    </comment>
    <comment ref="A18" authorId="0" shapeId="0" xr:uid="{AA027FCB-AFB9-467A-A32D-870EC1A8F761}">
      <text>
        <r>
          <rPr>
            <sz val="10"/>
            <color rgb="FF000000"/>
            <rFont val="Arial"/>
            <family val="2"/>
          </rPr>
          <t>Assumes 30 days per month</t>
        </r>
      </text>
    </comment>
    <comment ref="A19" authorId="0" shapeId="0" xr:uid="{5853342D-AA42-462E-BA2C-D51C49D156BE}">
      <text>
        <r>
          <rPr>
            <sz val="10"/>
            <color rgb="FF000000"/>
            <rFont val="Arial"/>
            <family val="2"/>
          </rPr>
          <t>Assumes 720 hours per month</t>
        </r>
      </text>
    </comment>
  </commentList>
</comments>
</file>

<file path=xl/sharedStrings.xml><?xml version="1.0" encoding="utf-8"?>
<sst xmlns="http://schemas.openxmlformats.org/spreadsheetml/2006/main" count="137" uniqueCount="57">
  <si>
    <t>Note: The below are calculations based on approximate values and should be used as a guideline only. Costs are not guaranteed and may vary depending on a number of factors. AWS Data Transfer In-Out not considered in bellow estimation</t>
  </si>
  <si>
    <t>AWS Service</t>
  </si>
  <si>
    <t>No.</t>
  </si>
  <si>
    <t>720 hrs</t>
  </si>
  <si>
    <t>Used for...</t>
  </si>
  <si>
    <t>Total</t>
  </si>
  <si>
    <t>EBS</t>
  </si>
  <si>
    <t>EFS</t>
  </si>
  <si>
    <t>EFS use for html folder share between all web server</t>
  </si>
  <si>
    <t>ALB</t>
  </si>
  <si>
    <t xml:space="preserve">Accepting incoming connections and routing to appropriate task </t>
  </si>
  <si>
    <t xml:space="preserve">CloudWatch </t>
  </si>
  <si>
    <t>cloudwatch customized Metrics</t>
  </si>
  <si>
    <t>Approx estimate monthly cost in $***</t>
  </si>
  <si>
    <t>Approx. Monthly</t>
  </si>
  <si>
    <t>Approx. Daily</t>
  </si>
  <si>
    <t>Approx. Hourly</t>
  </si>
  <si>
    <r>
      <t xml:space="preserve">** The following example shows how to calculate </t>
    </r>
    <r>
      <rPr>
        <sz val="10"/>
        <color theme="1"/>
        <rFont val="Arial Unicode MS"/>
        <family val="2"/>
      </rPr>
      <t>max_connections</t>
    </r>
    <r>
      <rPr>
        <sz val="11"/>
        <color theme="1"/>
        <rFont val="Calibri"/>
        <family val="2"/>
        <scheme val="minor"/>
      </rPr>
      <t xml:space="preserve"> for a MariaDB or MySQL DB instance using the db.m6g.12xlarge instance class. </t>
    </r>
    <r>
      <rPr>
        <sz val="10"/>
        <color theme="1"/>
        <rFont val="Arial Unicode MS"/>
        <family val="2"/>
      </rPr>
      <t>DBInstanceClassMemory</t>
    </r>
    <r>
      <rPr>
        <sz val="11"/>
        <color theme="1"/>
        <rFont val="Calibri"/>
        <family val="2"/>
        <scheme val="minor"/>
      </rPr>
      <t xml:space="preserve"> is 192 GB( 206158430208 bytes). That divided by 12,582,880 = 16,384 connections maximum.
 {DBInstanceClassMemory/12582880} If the default value calculation results in a value greater than 16,000, Amazon RDS sets the limit to 16,000 for MariaDB and MySQL DB instances.
ref. https://docs.aws.amazon.com/AmazonRDS/latest/UserGuide/CHAP_Limits.html</t>
    </r>
  </si>
  <si>
    <t>*** GST &amp;  Data Transfer In-Out charges not included in above estimation</t>
  </si>
  <si>
    <t>Consider following points for big Infra Support</t>
  </si>
  <si>
    <t>Log mgmt &amp; Alert notification</t>
  </si>
  <si>
    <t>Monitoring Web &amp; RDS</t>
  </si>
  <si>
    <t>Need to use AWS Ec2 Autoscale Service for managining web servers.</t>
  </si>
  <si>
    <t>Updated date:- 29 Sept 2025</t>
  </si>
  <si>
    <t>Estimated monthly cost (USD) Asia Pacific (Mumbai)</t>
  </si>
  <si>
    <t>EIP</t>
  </si>
  <si>
    <t>Amazon Virtual Private Cloud Public/ EIP IPv4 Addresses or each ec2</t>
  </si>
  <si>
    <t>|-&gt; assume 100 users / web server</t>
  </si>
  <si>
    <t>|-&gt; so sugesting use ec2 to avoid connection limit</t>
  </si>
  <si>
    <t xml:space="preserve">Database instance- db.t4g.micro with Single-AZ, gp3, max connection 85
</t>
  </si>
  <si>
    <t xml:space="preserve"> No. of Servers- size t4g.medium*  , backend+ MySQL</t>
  </si>
  <si>
    <t xml:space="preserve"> No. of web Servers- size t4g.micro*  , frontend</t>
  </si>
  <si>
    <t>* Linux OS need to set properly for Max resouce utilization</t>
  </si>
  <si>
    <t>RDS  Capacity  for RW operation &amp; connection</t>
  </si>
  <si>
    <t>|-&gt; SSL Certificate free, Improve application's responsiveness and availability.</t>
  </si>
  <si>
    <t>Approx. AWS Cost Calculations for 100 concurrent users consider future improvement</t>
  </si>
  <si>
    <t>root vol 30 GB with  gp3 for all server</t>
  </si>
  <si>
    <t>root vol 30 GB with iops  gp3 for all server</t>
  </si>
  <si>
    <t xml:space="preserve"> No. of Servers- size t4g.small*  , frontend + backend+ MySQL</t>
  </si>
  <si>
    <t>|-&gt; assume use for dev &amp; test purpose</t>
  </si>
  <si>
    <t xml:space="preserve"> </t>
  </si>
  <si>
    <t>** snapshot, backup storage not consider for cost</t>
  </si>
  <si>
    <t xml:space="preserve">Approx. AWS Cost Calculations for 100 concurrent users </t>
  </si>
  <si>
    <t>Approx. AWS Cost Calculations for min aws resouces for dev env</t>
  </si>
  <si>
    <t xml:space="preserve"> No. of Servers- size t4g.small*  , backend</t>
  </si>
  <si>
    <t>Accepting incoming connections and routing to appropriate task frontend &amp; backend</t>
  </si>
  <si>
    <t xml:space="preserve">Database instance- db.t4g.small with MutiAZ, gp3, max connection 85
</t>
  </si>
  <si>
    <t>RDS***</t>
  </si>
  <si>
    <r>
      <t xml:space="preserve">*** The following example shows how to calculate </t>
    </r>
    <r>
      <rPr>
        <sz val="10"/>
        <color theme="1"/>
        <rFont val="Arial Unicode MS"/>
        <family val="2"/>
      </rPr>
      <t>max_connections</t>
    </r>
    <r>
      <rPr>
        <sz val="11"/>
        <color theme="1"/>
        <rFont val="Calibri"/>
        <family val="2"/>
        <scheme val="minor"/>
      </rPr>
      <t xml:space="preserve"> for a MariaDB or MySQL DB instance using the db.m6g.12xlarge instance class. </t>
    </r>
    <r>
      <rPr>
        <sz val="10"/>
        <color theme="1"/>
        <rFont val="Arial Unicode MS"/>
        <family val="2"/>
      </rPr>
      <t>DBInstanceClassMemory</t>
    </r>
    <r>
      <rPr>
        <sz val="11"/>
        <color theme="1"/>
        <rFont val="Calibri"/>
        <family val="2"/>
        <scheme val="minor"/>
      </rPr>
      <t xml:space="preserve"> is 192 GB( 206158430208 bytes). That divided by 12,582,880 = 16,384 connections maximum.
 {DBInstanceClassMemory/12582880} If the default value calculation results in a value greater than 16,000, Amazon RDS sets the limit to 16,000 for MariaDB and MySQL DB instances.
ref. https://docs.aws.amazon.com/AmazonRDS/latest/UserGuide/CHAP_Limits.html</t>
    </r>
  </si>
  <si>
    <t>Session mgmt</t>
  </si>
  <si>
    <t xml:space="preserve">User session mgmt </t>
  </si>
  <si>
    <t>Session Mgmt</t>
  </si>
  <si>
    <t>using ELB sticky session</t>
  </si>
  <si>
    <t xml:space="preserve"> No. of web Servers- size t4g.micro*  , frontend, platform server</t>
  </si>
  <si>
    <t>Approx. AWS Cost Calculations for 170 concurrent users consider AWS best practices</t>
  </si>
  <si>
    <t>|-&gt; assume 170 users / web server</t>
  </si>
  <si>
    <t>Monitoring ec2 &amp;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</si>
</sst>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Arial"/>
      <family val="2"/>
    </font>
    <font>
      <sz val="12"/>
      <name val="Calibri"/>
      <family val="2"/>
      <scheme val="minor"/>
    </font>
    <font>
      <b/>
      <sz val="14"/>
      <color rgb="FFFFFFFF"/>
      <name val="Arial"/>
      <family val="2"/>
    </font>
    <font>
      <i/>
      <u/>
      <sz val="11"/>
      <color rgb="FFFFFFFF"/>
      <name val="Arial"/>
      <family val="2"/>
    </font>
    <font>
      <i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u/>
      <sz val="10"/>
      <color rgb="FF0000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i/>
      <sz val="10"/>
      <color rgb="FFFF0000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0"/>
      <color theme="1"/>
      <name val="Arial Unicode MS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B7B7B7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7" fillId="2" borderId="4" xfId="0" applyFont="1" applyFill="1" applyBorder="1"/>
    <xf numFmtId="0" fontId="8" fillId="2" borderId="4" xfId="0" applyFont="1" applyFill="1" applyBorder="1" applyAlignment="1">
      <alignment horizontal="center"/>
    </xf>
    <xf numFmtId="0" fontId="8" fillId="2" borderId="4" xfId="0" applyFont="1" applyFill="1" applyBorder="1"/>
    <xf numFmtId="0" fontId="8" fillId="0" borderId="5" xfId="0" applyFont="1" applyBorder="1"/>
    <xf numFmtId="0" fontId="9" fillId="3" borderId="6" xfId="0" applyFont="1" applyFill="1" applyBorder="1"/>
    <xf numFmtId="0" fontId="10" fillId="3" borderId="6" xfId="0" applyFont="1" applyFill="1" applyBorder="1"/>
    <xf numFmtId="1" fontId="11" fillId="3" borderId="6" xfId="0" applyNumberFormat="1" applyFont="1" applyFill="1" applyBorder="1"/>
    <xf numFmtId="0" fontId="9" fillId="3" borderId="7" xfId="0" applyFont="1" applyFill="1" applyBorder="1"/>
    <xf numFmtId="0" fontId="10" fillId="3" borderId="7" xfId="0" applyFont="1" applyFill="1" applyBorder="1"/>
    <xf numFmtId="1" fontId="11" fillId="3" borderId="7" xfId="0" applyNumberFormat="1" applyFont="1" applyFill="1" applyBorder="1"/>
    <xf numFmtId="0" fontId="13" fillId="4" borderId="7" xfId="0" applyFont="1" applyFill="1" applyBorder="1"/>
    <xf numFmtId="0" fontId="14" fillId="4" borderId="7" xfId="0" applyFont="1" applyFill="1" applyBorder="1"/>
    <xf numFmtId="1" fontId="14" fillId="4" borderId="7" xfId="0" applyNumberFormat="1" applyFont="1" applyFill="1" applyBorder="1"/>
    <xf numFmtId="1" fontId="1" fillId="0" borderId="7" xfId="0" applyNumberFormat="1" applyFont="1" applyBorder="1"/>
    <xf numFmtId="1" fontId="0" fillId="0" borderId="7" xfId="0" applyNumberFormat="1" applyBorder="1"/>
    <xf numFmtId="0" fontId="11" fillId="0" borderId="7" xfId="0" applyFont="1" applyBorder="1"/>
    <xf numFmtId="0" fontId="10" fillId="0" borderId="7" xfId="0" applyFont="1" applyBorder="1"/>
    <xf numFmtId="1" fontId="11" fillId="0" borderId="7" xfId="0" applyNumberFormat="1" applyFont="1" applyBorder="1"/>
    <xf numFmtId="0" fontId="11" fillId="0" borderId="0" xfId="0" applyFont="1"/>
    <xf numFmtId="1" fontId="16" fillId="0" borderId="0" xfId="0" applyNumberFormat="1" applyFont="1"/>
    <xf numFmtId="0" fontId="17" fillId="3" borderId="10" xfId="0" applyFont="1" applyFill="1" applyBorder="1"/>
    <xf numFmtId="164" fontId="18" fillId="3" borderId="10" xfId="0" applyNumberFormat="1" applyFont="1" applyFill="1" applyBorder="1"/>
    <xf numFmtId="1" fontId="0" fillId="0" borderId="6" xfId="0" applyNumberFormat="1" applyBorder="1"/>
    <xf numFmtId="164" fontId="0" fillId="0" borderId="7" xfId="0" applyNumberFormat="1" applyBorder="1"/>
    <xf numFmtId="0" fontId="12" fillId="3" borderId="6" xfId="0" applyFont="1" applyFill="1" applyBorder="1" applyAlignment="1">
      <alignment horizontal="center" wrapText="1"/>
    </xf>
    <xf numFmtId="0" fontId="12" fillId="3" borderId="8" xfId="0" applyFont="1" applyFill="1" applyBorder="1" applyAlignment="1">
      <alignment horizontal="center" wrapText="1"/>
    </xf>
    <xf numFmtId="0" fontId="12" fillId="3" borderId="9" xfId="0" applyFont="1" applyFill="1" applyBorder="1" applyAlignment="1">
      <alignment horizontal="center" wrapText="1"/>
    </xf>
    <xf numFmtId="0" fontId="12" fillId="3" borderId="11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horizontal="center" wrapText="1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left" wrapText="1"/>
    </xf>
    <xf numFmtId="0" fontId="6" fillId="2" borderId="3" xfId="0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center"/>
    </xf>
    <xf numFmtId="0" fontId="15" fillId="4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DDB7-6AF7-4555-9E6E-6103B9E193A9}">
  <dimension ref="A1:J24"/>
  <sheetViews>
    <sheetView tabSelected="1" workbookViewId="0">
      <selection activeCell="A26" sqref="A26:XFD30"/>
    </sheetView>
  </sheetViews>
  <sheetFormatPr defaultColWidth="14.42578125" defaultRowHeight="15"/>
  <cols>
    <col min="1" max="1" width="20.140625" customWidth="1"/>
    <col min="2" max="2" width="5" bestFit="1" customWidth="1"/>
    <col min="3" max="3" width="12.5703125" customWidth="1"/>
    <col min="4" max="4" width="12.7109375" customWidth="1"/>
    <col min="5" max="5" width="13" customWidth="1"/>
    <col min="6" max="6" width="46.140625" customWidth="1"/>
  </cols>
  <sheetData>
    <row r="1" spans="1:9" ht="18">
      <c r="A1" s="33" t="s">
        <v>23</v>
      </c>
      <c r="B1" s="33"/>
      <c r="C1" s="34"/>
      <c r="D1" s="34"/>
      <c r="E1" s="34"/>
      <c r="F1" s="34"/>
    </row>
    <row r="2" spans="1:9" ht="18">
      <c r="A2" s="35" t="s">
        <v>43</v>
      </c>
      <c r="B2" s="36"/>
      <c r="C2" s="36"/>
      <c r="D2" s="36"/>
      <c r="E2" s="36"/>
      <c r="F2" s="36"/>
      <c r="G2" s="37"/>
    </row>
    <row r="3" spans="1:9" ht="31.5" customHeight="1">
      <c r="A3" s="38" t="s">
        <v>0</v>
      </c>
      <c r="B3" s="39"/>
      <c r="C3" s="39"/>
      <c r="D3" s="39"/>
      <c r="E3" s="39"/>
      <c r="F3" s="39"/>
      <c r="G3" s="40"/>
    </row>
    <row r="4" spans="1:9" ht="15.75">
      <c r="A4" s="1"/>
      <c r="B4" s="1"/>
      <c r="C4" s="41" t="s">
        <v>24</v>
      </c>
      <c r="D4" s="41"/>
      <c r="E4" s="41"/>
      <c r="F4" s="41"/>
      <c r="G4" s="41"/>
    </row>
    <row r="5" spans="1:9" ht="15.75">
      <c r="A5" s="3" t="s">
        <v>1</v>
      </c>
      <c r="B5" s="3" t="s">
        <v>2</v>
      </c>
      <c r="C5" s="2" t="s">
        <v>3</v>
      </c>
      <c r="D5" s="41" t="s">
        <v>4</v>
      </c>
      <c r="E5" s="41"/>
      <c r="F5" s="41"/>
      <c r="G5" s="3" t="s">
        <v>5</v>
      </c>
      <c r="H5" s="4"/>
      <c r="I5" s="4"/>
    </row>
    <row r="6" spans="1:9">
      <c r="A6" s="5" t="str">
        <f>HYPERLINK("https://aws.amazon.com/ec2/pricing/","EC2")</f>
        <v>EC2</v>
      </c>
      <c r="B6" s="6">
        <v>1</v>
      </c>
      <c r="C6" s="7">
        <v>8.07</v>
      </c>
      <c r="D6" s="25" t="s">
        <v>38</v>
      </c>
      <c r="E6" s="25"/>
      <c r="F6" s="25"/>
      <c r="G6" s="23">
        <f>C6*B6</f>
        <v>8.07</v>
      </c>
      <c r="H6" t="s">
        <v>39</v>
      </c>
    </row>
    <row r="7" spans="1:9">
      <c r="A7" s="5" t="str">
        <f>HYPERLINK("https://aws.amazon.com/ec2/pricing/","EC2")</f>
        <v>EC2</v>
      </c>
      <c r="B7" s="6">
        <v>0</v>
      </c>
      <c r="C7" s="7">
        <v>4.03</v>
      </c>
      <c r="D7" s="25" t="s">
        <v>31</v>
      </c>
      <c r="E7" s="25"/>
      <c r="F7" s="25"/>
      <c r="G7" s="23">
        <f>C7*B7</f>
        <v>0</v>
      </c>
    </row>
    <row r="8" spans="1:9">
      <c r="A8" s="5" t="s">
        <v>25</v>
      </c>
      <c r="B8" s="6">
        <v>1</v>
      </c>
      <c r="C8" s="7">
        <v>3.6</v>
      </c>
      <c r="D8" s="26" t="s">
        <v>26</v>
      </c>
      <c r="E8" s="27"/>
      <c r="F8" s="28"/>
      <c r="G8" s="23">
        <f>C8*B8</f>
        <v>3.6</v>
      </c>
    </row>
    <row r="9" spans="1:9">
      <c r="A9" s="8" t="s">
        <v>6</v>
      </c>
      <c r="B9" s="9">
        <f>B6+B7</f>
        <v>1</v>
      </c>
      <c r="C9" s="10">
        <v>2.74</v>
      </c>
      <c r="D9" s="29" t="s">
        <v>36</v>
      </c>
      <c r="E9" s="29"/>
      <c r="F9" s="29"/>
      <c r="G9" s="15">
        <f t="shared" ref="G9:G10" si="0">C9*B9</f>
        <v>2.74</v>
      </c>
    </row>
    <row r="10" spans="1:9">
      <c r="A10" s="8" t="s">
        <v>11</v>
      </c>
      <c r="B10" s="9">
        <v>1</v>
      </c>
      <c r="C10" s="10">
        <v>0.3</v>
      </c>
      <c r="D10" s="29" t="s">
        <v>12</v>
      </c>
      <c r="E10" s="29"/>
      <c r="F10" s="29"/>
      <c r="G10" s="15">
        <f t="shared" si="0"/>
        <v>0.3</v>
      </c>
    </row>
    <row r="11" spans="1:9">
      <c r="A11" s="16"/>
      <c r="B11" s="17"/>
      <c r="C11" s="18"/>
      <c r="D11" s="30" t="s">
        <v>13</v>
      </c>
      <c r="E11" s="31"/>
      <c r="F11" s="31"/>
      <c r="G11" s="15">
        <f>SUM(G6:G10)</f>
        <v>14.71</v>
      </c>
      <c r="H11" t="str">
        <f>IF(C13&lt;&gt;SUM(G6:G10),"The totals don't add up","")</f>
        <v/>
      </c>
    </row>
    <row r="12" spans="1:9">
      <c r="A12" s="19"/>
      <c r="B12" s="19"/>
      <c r="C12" s="20"/>
    </row>
    <row r="13" spans="1:9" ht="15.75">
      <c r="A13" s="21" t="s">
        <v>14</v>
      </c>
      <c r="B13" s="21"/>
      <c r="C13" s="22">
        <f>SUM(B6*C6+B7*C7+B8*C8+B9*C9+B10*C10)</f>
        <v>14.71</v>
      </c>
      <c r="E13" t="s">
        <v>40</v>
      </c>
    </row>
    <row r="14" spans="1:9" ht="15.75">
      <c r="A14" s="21" t="s">
        <v>15</v>
      </c>
      <c r="B14" s="21"/>
      <c r="C14" s="22">
        <f>C13/30</f>
        <v>0.49033333333333334</v>
      </c>
    </row>
    <row r="15" spans="1:9" ht="15.75">
      <c r="A15" s="21" t="s">
        <v>16</v>
      </c>
      <c r="B15" s="21"/>
      <c r="C15" s="22">
        <f>C13/720</f>
        <v>2.0430555555555556E-2</v>
      </c>
    </row>
    <row r="17" spans="1:10">
      <c r="A17" t="s">
        <v>32</v>
      </c>
    </row>
    <row r="18" spans="1:10">
      <c r="A18" t="s">
        <v>41</v>
      </c>
    </row>
    <row r="19" spans="1:10" ht="15.75" customHeight="1">
      <c r="A19" s="32" t="s">
        <v>17</v>
      </c>
      <c r="B19" s="32"/>
      <c r="C19" s="32"/>
      <c r="D19" s="32"/>
      <c r="E19" s="32"/>
      <c r="F19" s="32"/>
      <c r="G19" s="32"/>
      <c r="H19" s="32"/>
      <c r="I19" s="32"/>
      <c r="J19" s="32"/>
    </row>
    <row r="20" spans="1:10">
      <c r="A20" s="32"/>
      <c r="B20" s="32"/>
      <c r="C20" s="32"/>
      <c r="D20" s="32"/>
      <c r="E20" s="32"/>
      <c r="F20" s="32"/>
      <c r="G20" s="32"/>
      <c r="H20" s="32"/>
      <c r="I20" s="32"/>
      <c r="J20" s="32"/>
    </row>
    <row r="21" spans="1:10">
      <c r="A21" s="32"/>
      <c r="B21" s="32"/>
      <c r="C21" s="32"/>
      <c r="D21" s="32"/>
      <c r="E21" s="32"/>
      <c r="F21" s="32"/>
      <c r="G21" s="32"/>
      <c r="H21" s="32"/>
      <c r="I21" s="32"/>
      <c r="J21" s="32"/>
    </row>
    <row r="22" spans="1:10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 spans="1:10">
      <c r="A23" s="32"/>
      <c r="B23" s="32"/>
      <c r="C23" s="32"/>
      <c r="D23" s="32"/>
      <c r="E23" s="32"/>
      <c r="F23" s="32"/>
      <c r="G23" s="32"/>
      <c r="H23" s="32"/>
      <c r="I23" s="32"/>
      <c r="J23" s="32"/>
    </row>
    <row r="24" spans="1:10">
      <c r="A24" t="s">
        <v>18</v>
      </c>
    </row>
  </sheetData>
  <mergeCells count="12">
    <mergeCell ref="A19:J23"/>
    <mergeCell ref="A1:F1"/>
    <mergeCell ref="A2:G2"/>
    <mergeCell ref="A3:G3"/>
    <mergeCell ref="C4:G4"/>
    <mergeCell ref="D5:F5"/>
    <mergeCell ref="D6:F6"/>
    <mergeCell ref="D7:F7"/>
    <mergeCell ref="D8:F8"/>
    <mergeCell ref="D9:F9"/>
    <mergeCell ref="D10:F10"/>
    <mergeCell ref="D11:F1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7AAC-BFBF-4E63-BD5D-A33D52ECCAA9}">
  <dimension ref="A1:J28"/>
  <sheetViews>
    <sheetView workbookViewId="0">
      <selection activeCell="C10" sqref="C10"/>
    </sheetView>
  </sheetViews>
  <sheetFormatPr defaultColWidth="14.42578125" defaultRowHeight="15"/>
  <cols>
    <col min="1" max="1" width="20.140625" customWidth="1"/>
    <col min="2" max="2" width="5" bestFit="1" customWidth="1"/>
    <col min="3" max="3" width="12.5703125" customWidth="1"/>
    <col min="4" max="4" width="12.7109375" customWidth="1"/>
    <col min="5" max="5" width="13" customWidth="1"/>
    <col min="6" max="6" width="46.140625" customWidth="1"/>
  </cols>
  <sheetData>
    <row r="1" spans="1:9" ht="18">
      <c r="A1" s="33" t="s">
        <v>23</v>
      </c>
      <c r="B1" s="33"/>
      <c r="C1" s="34"/>
      <c r="D1" s="34"/>
      <c r="E1" s="34"/>
      <c r="F1" s="34"/>
    </row>
    <row r="2" spans="1:9" ht="18">
      <c r="A2" s="35" t="s">
        <v>42</v>
      </c>
      <c r="B2" s="36"/>
      <c r="C2" s="36"/>
      <c r="D2" s="36"/>
      <c r="E2" s="36"/>
      <c r="F2" s="36"/>
      <c r="G2" s="37"/>
    </row>
    <row r="3" spans="1:9" ht="31.5" customHeight="1">
      <c r="A3" s="38" t="s">
        <v>0</v>
      </c>
      <c r="B3" s="39"/>
      <c r="C3" s="39"/>
      <c r="D3" s="39"/>
      <c r="E3" s="39"/>
      <c r="F3" s="39"/>
      <c r="G3" s="40"/>
    </row>
    <row r="4" spans="1:9" ht="15.75">
      <c r="A4" s="1"/>
      <c r="B4" s="1"/>
      <c r="C4" s="41" t="s">
        <v>24</v>
      </c>
      <c r="D4" s="41"/>
      <c r="E4" s="41"/>
      <c r="F4" s="41"/>
      <c r="G4" s="41"/>
    </row>
    <row r="5" spans="1:9" ht="15.75">
      <c r="A5" s="3" t="s">
        <v>1</v>
      </c>
      <c r="B5" s="3" t="s">
        <v>2</v>
      </c>
      <c r="C5" s="2" t="s">
        <v>3</v>
      </c>
      <c r="D5" s="41" t="s">
        <v>4</v>
      </c>
      <c r="E5" s="41"/>
      <c r="F5" s="41"/>
      <c r="G5" s="3" t="s">
        <v>5</v>
      </c>
      <c r="H5" s="4"/>
      <c r="I5" s="4"/>
    </row>
    <row r="6" spans="1:9">
      <c r="A6" s="5" t="str">
        <f>HYPERLINK("https://aws.amazon.com/ec2/pricing/","EC2")</f>
        <v>EC2</v>
      </c>
      <c r="B6" s="6">
        <v>1</v>
      </c>
      <c r="C6" s="7">
        <v>16.13</v>
      </c>
      <c r="D6" s="25" t="s">
        <v>30</v>
      </c>
      <c r="E6" s="25"/>
      <c r="F6" s="25"/>
      <c r="G6" s="23">
        <f>C6*B6</f>
        <v>16.13</v>
      </c>
      <c r="H6" t="s">
        <v>27</v>
      </c>
    </row>
    <row r="7" spans="1:9">
      <c r="A7" s="5" t="str">
        <f>HYPERLINK("https://aws.amazon.com/ec2/pricing/","EC2")</f>
        <v>EC2</v>
      </c>
      <c r="B7" s="6">
        <v>1</v>
      </c>
      <c r="C7" s="7">
        <v>4.03</v>
      </c>
      <c r="D7" s="25" t="s">
        <v>31</v>
      </c>
      <c r="E7" s="25"/>
      <c r="F7" s="25"/>
      <c r="G7" s="23">
        <f>C7*B7</f>
        <v>4.03</v>
      </c>
    </row>
    <row r="8" spans="1:9">
      <c r="A8" s="5" t="s">
        <v>25</v>
      </c>
      <c r="B8" s="6">
        <v>2</v>
      </c>
      <c r="C8" s="7">
        <v>3.6</v>
      </c>
      <c r="D8" s="26" t="s">
        <v>26</v>
      </c>
      <c r="E8" s="27"/>
      <c r="F8" s="28"/>
      <c r="G8" s="23">
        <f>C8*B8</f>
        <v>7.2</v>
      </c>
    </row>
    <row r="9" spans="1:9">
      <c r="A9" s="8" t="s">
        <v>6</v>
      </c>
      <c r="B9" s="9">
        <f>B6+B7</f>
        <v>2</v>
      </c>
      <c r="C9" s="10">
        <v>2.74</v>
      </c>
      <c r="D9" s="29" t="s">
        <v>36</v>
      </c>
      <c r="E9" s="29"/>
      <c r="F9" s="29"/>
      <c r="G9" s="15">
        <f t="shared" ref="G9:G10" si="0">C9*B9</f>
        <v>5.48</v>
      </c>
    </row>
    <row r="10" spans="1:9">
      <c r="A10" s="8" t="s">
        <v>11</v>
      </c>
      <c r="B10" s="9">
        <v>1</v>
      </c>
      <c r="C10" s="10">
        <v>0.3</v>
      </c>
      <c r="D10" s="29" t="s">
        <v>12</v>
      </c>
      <c r="E10" s="29"/>
      <c r="F10" s="29"/>
      <c r="G10" s="15">
        <f t="shared" si="0"/>
        <v>0.3</v>
      </c>
    </row>
    <row r="11" spans="1:9">
      <c r="A11" s="16"/>
      <c r="B11" s="17"/>
      <c r="C11" s="18"/>
      <c r="D11" s="30" t="s">
        <v>13</v>
      </c>
      <c r="E11" s="31"/>
      <c r="F11" s="31"/>
      <c r="G11" s="15">
        <f>SUM(G6:G10)</f>
        <v>33.14</v>
      </c>
      <c r="H11" t="str">
        <f>IF(C13&lt;&gt;SUM(G6:G10),"The totals don't add up","")</f>
        <v/>
      </c>
    </row>
    <row r="12" spans="1:9">
      <c r="A12" s="19"/>
      <c r="B12" s="19"/>
      <c r="C12" s="20"/>
    </row>
    <row r="13" spans="1:9" ht="15.75">
      <c r="A13" s="21" t="s">
        <v>14</v>
      </c>
      <c r="B13" s="21"/>
      <c r="C13" s="22">
        <f>SUM(B6*C6+B7*C7+B8*C8+B9*C9+B10*C10)</f>
        <v>33.14</v>
      </c>
    </row>
    <row r="14" spans="1:9" ht="15.75">
      <c r="A14" s="21" t="s">
        <v>15</v>
      </c>
      <c r="B14" s="21"/>
      <c r="C14" s="22">
        <f>C13/30</f>
        <v>1.1046666666666667</v>
      </c>
    </row>
    <row r="15" spans="1:9" ht="15.75">
      <c r="A15" s="21" t="s">
        <v>16</v>
      </c>
      <c r="B15" s="21"/>
      <c r="C15" s="22">
        <f>C13/720</f>
        <v>4.6027777777777779E-2</v>
      </c>
    </row>
    <row r="17" spans="1:10">
      <c r="A17" t="s">
        <v>32</v>
      </c>
    </row>
    <row r="18" spans="1:10">
      <c r="A18" t="s">
        <v>41</v>
      </c>
    </row>
    <row r="19" spans="1:10" ht="15.75" customHeight="1">
      <c r="A19" s="32" t="s">
        <v>17</v>
      </c>
      <c r="B19" s="32"/>
      <c r="C19" s="32"/>
      <c r="D19" s="32"/>
      <c r="E19" s="32"/>
      <c r="F19" s="32"/>
      <c r="G19" s="32"/>
      <c r="H19" s="32"/>
      <c r="I19" s="32"/>
      <c r="J19" s="32"/>
    </row>
    <row r="20" spans="1:10">
      <c r="A20" s="32"/>
      <c r="B20" s="32"/>
      <c r="C20" s="32"/>
      <c r="D20" s="32"/>
      <c r="E20" s="32"/>
      <c r="F20" s="32"/>
      <c r="G20" s="32"/>
      <c r="H20" s="32"/>
      <c r="I20" s="32"/>
      <c r="J20" s="32"/>
    </row>
    <row r="21" spans="1:10">
      <c r="A21" s="32"/>
      <c r="B21" s="32"/>
      <c r="C21" s="32"/>
      <c r="D21" s="32"/>
      <c r="E21" s="32"/>
      <c r="F21" s="32"/>
      <c r="G21" s="32"/>
      <c r="H21" s="32"/>
      <c r="I21" s="32"/>
      <c r="J21" s="32"/>
    </row>
    <row r="22" spans="1:10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 spans="1:10">
      <c r="A23" s="32"/>
      <c r="B23" s="32"/>
      <c r="C23" s="32"/>
      <c r="D23" s="32"/>
      <c r="E23" s="32"/>
      <c r="F23" s="32"/>
      <c r="G23" s="32"/>
      <c r="H23" s="32"/>
      <c r="I23" s="32"/>
      <c r="J23" s="32"/>
    </row>
    <row r="24" spans="1:10">
      <c r="A24" t="s">
        <v>18</v>
      </c>
    </row>
    <row r="26" spans="1:10">
      <c r="A26" t="s">
        <v>19</v>
      </c>
    </row>
    <row r="27" spans="1:10">
      <c r="B27" t="s">
        <v>20</v>
      </c>
    </row>
    <row r="28" spans="1:10">
      <c r="B28" t="s">
        <v>56</v>
      </c>
    </row>
  </sheetData>
  <mergeCells count="12">
    <mergeCell ref="D6:F6"/>
    <mergeCell ref="A1:F1"/>
    <mergeCell ref="A2:G2"/>
    <mergeCell ref="A3:G3"/>
    <mergeCell ref="C4:G4"/>
    <mergeCell ref="D5:F5"/>
    <mergeCell ref="D10:F10"/>
    <mergeCell ref="D11:F11"/>
    <mergeCell ref="A19:J23"/>
    <mergeCell ref="D7:F7"/>
    <mergeCell ref="D8:F8"/>
    <mergeCell ref="D9:F9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4BCD-8970-4209-AFCB-3ED3E2ABFAAD}">
  <dimension ref="A1:J34"/>
  <sheetViews>
    <sheetView workbookViewId="0">
      <selection activeCell="D12" sqref="D12:F12"/>
    </sheetView>
  </sheetViews>
  <sheetFormatPr defaultColWidth="14.42578125" defaultRowHeight="15"/>
  <cols>
    <col min="1" max="1" width="20.140625" customWidth="1"/>
    <col min="2" max="2" width="5" bestFit="1" customWidth="1"/>
    <col min="3" max="3" width="12.5703125" customWidth="1"/>
    <col min="4" max="4" width="12.7109375" customWidth="1"/>
    <col min="5" max="5" width="13" customWidth="1"/>
    <col min="6" max="6" width="46.140625" customWidth="1"/>
  </cols>
  <sheetData>
    <row r="1" spans="1:9" ht="18">
      <c r="A1" s="33" t="s">
        <v>23</v>
      </c>
      <c r="B1" s="33"/>
      <c r="C1" s="34"/>
      <c r="D1" s="34"/>
      <c r="E1" s="34"/>
      <c r="F1" s="34"/>
    </row>
    <row r="2" spans="1:9" ht="18">
      <c r="A2" s="35" t="s">
        <v>35</v>
      </c>
      <c r="B2" s="36"/>
      <c r="C2" s="36"/>
      <c r="D2" s="36"/>
      <c r="E2" s="36"/>
      <c r="F2" s="36"/>
      <c r="G2" s="37"/>
    </row>
    <row r="3" spans="1:9" ht="31.5" customHeight="1">
      <c r="A3" s="38" t="s">
        <v>0</v>
      </c>
      <c r="B3" s="39"/>
      <c r="C3" s="39"/>
      <c r="D3" s="39"/>
      <c r="E3" s="39"/>
      <c r="F3" s="39"/>
      <c r="G3" s="40"/>
    </row>
    <row r="4" spans="1:9" ht="15.75">
      <c r="A4" s="1"/>
      <c r="B4" s="1"/>
      <c r="C4" s="41" t="s">
        <v>24</v>
      </c>
      <c r="D4" s="41"/>
      <c r="E4" s="41"/>
      <c r="F4" s="41"/>
      <c r="G4" s="41"/>
    </row>
    <row r="5" spans="1:9" ht="15.75">
      <c r="A5" s="3" t="s">
        <v>1</v>
      </c>
      <c r="B5" s="3" t="s">
        <v>2</v>
      </c>
      <c r="C5" s="2" t="s">
        <v>3</v>
      </c>
      <c r="D5" s="41" t="s">
        <v>4</v>
      </c>
      <c r="E5" s="41"/>
      <c r="F5" s="41"/>
      <c r="G5" s="3" t="s">
        <v>5</v>
      </c>
      <c r="H5" s="4"/>
      <c r="I5" s="4"/>
    </row>
    <row r="6" spans="1:9">
      <c r="A6" s="5" t="str">
        <f>HYPERLINK("https://aws.amazon.com/ec2/pricing/","EC2")</f>
        <v>EC2</v>
      </c>
      <c r="B6" s="6">
        <v>1</v>
      </c>
      <c r="C6" s="7">
        <v>16.13</v>
      </c>
      <c r="D6" s="25" t="s">
        <v>30</v>
      </c>
      <c r="E6" s="25"/>
      <c r="F6" s="25"/>
      <c r="G6" s="23">
        <f>C6*B6</f>
        <v>16.13</v>
      </c>
      <c r="H6" t="s">
        <v>27</v>
      </c>
    </row>
    <row r="7" spans="1:9">
      <c r="A7" s="5" t="str">
        <f>HYPERLINK("https://aws.amazon.com/ec2/pricing/","EC2")</f>
        <v>EC2</v>
      </c>
      <c r="B7" s="6">
        <v>2</v>
      </c>
      <c r="C7" s="7">
        <v>4.03</v>
      </c>
      <c r="D7" s="25" t="s">
        <v>31</v>
      </c>
      <c r="E7" s="25"/>
      <c r="F7" s="25"/>
      <c r="G7" s="23">
        <f>C7*B7</f>
        <v>8.06</v>
      </c>
    </row>
    <row r="8" spans="1:9">
      <c r="A8" s="5" t="s">
        <v>25</v>
      </c>
      <c r="B8" s="6">
        <v>3</v>
      </c>
      <c r="C8" s="7">
        <v>3.6</v>
      </c>
      <c r="D8" s="26" t="s">
        <v>26</v>
      </c>
      <c r="E8" s="27"/>
      <c r="F8" s="28"/>
      <c r="G8" s="23">
        <f>C8*B8</f>
        <v>10.8</v>
      </c>
    </row>
    <row r="9" spans="1:9">
      <c r="A9" s="8" t="s">
        <v>6</v>
      </c>
      <c r="B9" s="9">
        <f>B6+B7</f>
        <v>3</v>
      </c>
      <c r="C9" s="10">
        <v>2.74</v>
      </c>
      <c r="D9" s="29" t="s">
        <v>37</v>
      </c>
      <c r="E9" s="29"/>
      <c r="F9" s="29"/>
      <c r="G9" s="15">
        <f t="shared" ref="G9:G14" si="0">C9*B9</f>
        <v>8.2200000000000006</v>
      </c>
    </row>
    <row r="10" spans="1:9">
      <c r="A10" s="8" t="s">
        <v>7</v>
      </c>
      <c r="B10" s="9">
        <v>1</v>
      </c>
      <c r="C10" s="10">
        <v>0.5</v>
      </c>
      <c r="D10" s="29" t="s">
        <v>8</v>
      </c>
      <c r="E10" s="29"/>
      <c r="F10" s="29"/>
      <c r="G10" s="15">
        <f t="shared" si="0"/>
        <v>0.5</v>
      </c>
    </row>
    <row r="11" spans="1:9">
      <c r="A11" s="8" t="s">
        <v>9</v>
      </c>
      <c r="B11" s="9">
        <v>1</v>
      </c>
      <c r="C11" s="10">
        <v>17.207999999999998</v>
      </c>
      <c r="D11" s="26" t="s">
        <v>10</v>
      </c>
      <c r="E11" s="27"/>
      <c r="F11" s="28"/>
      <c r="G11" s="15">
        <f t="shared" si="0"/>
        <v>17.207999999999998</v>
      </c>
      <c r="H11" t="s">
        <v>34</v>
      </c>
    </row>
    <row r="12" spans="1:9">
      <c r="A12" s="11" t="s">
        <v>47</v>
      </c>
      <c r="B12" s="12">
        <v>1</v>
      </c>
      <c r="C12" s="13">
        <v>17.739999999999998</v>
      </c>
      <c r="D12" s="42" t="s">
        <v>29</v>
      </c>
      <c r="E12" s="42"/>
      <c r="F12" s="42"/>
      <c r="G12" s="14">
        <f t="shared" si="0"/>
        <v>17.739999999999998</v>
      </c>
      <c r="H12" t="s">
        <v>28</v>
      </c>
    </row>
    <row r="13" spans="1:9">
      <c r="A13" s="8" t="s">
        <v>11</v>
      </c>
      <c r="B13" s="9">
        <v>1</v>
      </c>
      <c r="C13" s="10">
        <v>0.3</v>
      </c>
      <c r="D13" s="29" t="s">
        <v>12</v>
      </c>
      <c r="E13" s="29"/>
      <c r="F13" s="29"/>
      <c r="G13" s="15">
        <f t="shared" si="0"/>
        <v>0.3</v>
      </c>
    </row>
    <row r="14" spans="1:9">
      <c r="A14" s="8" t="s">
        <v>51</v>
      </c>
      <c r="B14" s="9">
        <v>0</v>
      </c>
      <c r="C14" s="10">
        <v>0</v>
      </c>
      <c r="D14" s="26" t="s">
        <v>52</v>
      </c>
      <c r="E14" s="27"/>
      <c r="F14" s="28"/>
      <c r="G14" s="15">
        <f t="shared" si="0"/>
        <v>0</v>
      </c>
    </row>
    <row r="15" spans="1:9">
      <c r="A15" s="16"/>
      <c r="B15" s="17"/>
      <c r="C15" s="18"/>
      <c r="D15" s="30" t="s">
        <v>13</v>
      </c>
      <c r="E15" s="31"/>
      <c r="F15" s="31"/>
      <c r="G15" s="15">
        <f>SUM(G6:G14)</f>
        <v>78.957999999999984</v>
      </c>
      <c r="H15" t="str">
        <f>IF(C17&lt;&gt;SUM(G6:G13),"The totals don't add up","")</f>
        <v/>
      </c>
    </row>
    <row r="16" spans="1:9">
      <c r="A16" s="19"/>
      <c r="B16" s="19"/>
      <c r="C16" s="20"/>
    </row>
    <row r="17" spans="1:10" ht="15.75">
      <c r="A17" s="21" t="s">
        <v>14</v>
      </c>
      <c r="B17" s="21"/>
      <c r="C17" s="22">
        <f>SUM(B6*C6+B7*C7+B8*C8+B9*C9+B10*C10+B11*C11+B12*C12+B13*C13)</f>
        <v>78.957999999999984</v>
      </c>
    </row>
    <row r="18" spans="1:10" ht="15.75">
      <c r="A18" s="21" t="s">
        <v>15</v>
      </c>
      <c r="B18" s="21"/>
      <c r="C18" s="22">
        <f>C17/30</f>
        <v>2.631933333333333</v>
      </c>
    </row>
    <row r="19" spans="1:10" ht="15.75">
      <c r="A19" s="21" t="s">
        <v>16</v>
      </c>
      <c r="B19" s="21"/>
      <c r="C19" s="22">
        <f>C17/720</f>
        <v>0.10966388888888887</v>
      </c>
    </row>
    <row r="21" spans="1:10">
      <c r="A21" t="s">
        <v>32</v>
      </c>
    </row>
    <row r="22" spans="1:10">
      <c r="A22" t="s">
        <v>41</v>
      </c>
    </row>
    <row r="23" spans="1:10" ht="15.75" customHeight="1">
      <c r="A23" s="32" t="s">
        <v>48</v>
      </c>
      <c r="B23" s="32"/>
      <c r="C23" s="32"/>
      <c r="D23" s="32"/>
      <c r="E23" s="32"/>
      <c r="F23" s="32"/>
      <c r="G23" s="32"/>
      <c r="H23" s="32"/>
      <c r="I23" s="32"/>
      <c r="J23" s="32"/>
    </row>
    <row r="24" spans="1:10">
      <c r="A24" s="32"/>
      <c r="B24" s="32"/>
      <c r="C24" s="32"/>
      <c r="D24" s="32"/>
      <c r="E24" s="32"/>
      <c r="F24" s="32"/>
      <c r="G24" s="32"/>
      <c r="H24" s="32"/>
      <c r="I24" s="32"/>
      <c r="J24" s="32"/>
    </row>
    <row r="25" spans="1:10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 spans="1:10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spans="1:10">
      <c r="A27" s="32"/>
      <c r="B27" s="32"/>
      <c r="C27" s="32"/>
      <c r="D27" s="32"/>
      <c r="E27" s="32"/>
      <c r="F27" s="32"/>
      <c r="G27" s="32"/>
      <c r="H27" s="32"/>
      <c r="I27" s="32"/>
      <c r="J27" s="32"/>
    </row>
    <row r="28" spans="1:10">
      <c r="A28" t="s">
        <v>18</v>
      </c>
    </row>
    <row r="30" spans="1:10">
      <c r="A30" t="s">
        <v>19</v>
      </c>
    </row>
    <row r="31" spans="1:10">
      <c r="B31" t="s">
        <v>20</v>
      </c>
    </row>
    <row r="32" spans="1:10">
      <c r="B32" t="s">
        <v>21</v>
      </c>
    </row>
    <row r="33" spans="2:2">
      <c r="B33" t="s">
        <v>22</v>
      </c>
    </row>
    <row r="34" spans="2:2">
      <c r="B34" t="s">
        <v>33</v>
      </c>
    </row>
  </sheetData>
  <mergeCells count="16">
    <mergeCell ref="D15:F15"/>
    <mergeCell ref="A23:J27"/>
    <mergeCell ref="D8:F8"/>
    <mergeCell ref="D7:F7"/>
    <mergeCell ref="D9:F9"/>
    <mergeCell ref="D10:F10"/>
    <mergeCell ref="D11:F11"/>
    <mergeCell ref="D12:F12"/>
    <mergeCell ref="D13:F13"/>
    <mergeCell ref="D6:F6"/>
    <mergeCell ref="D14:F14"/>
    <mergeCell ref="A1:F1"/>
    <mergeCell ref="A2:G2"/>
    <mergeCell ref="A3:G3"/>
    <mergeCell ref="C4:G4"/>
    <mergeCell ref="D5:F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A351-917A-486D-A8EB-6B16B5FE6DDB}">
  <sheetPr>
    <tabColor theme="9"/>
  </sheetPr>
  <dimension ref="A1:J34"/>
  <sheetViews>
    <sheetView workbookViewId="0">
      <selection activeCell="D7" sqref="D7:F7"/>
    </sheetView>
  </sheetViews>
  <sheetFormatPr defaultColWidth="14.42578125" defaultRowHeight="15"/>
  <cols>
    <col min="1" max="1" width="20.140625" customWidth="1"/>
    <col min="2" max="2" width="5" bestFit="1" customWidth="1"/>
    <col min="3" max="3" width="12.5703125" customWidth="1"/>
    <col min="4" max="4" width="12.7109375" customWidth="1"/>
    <col min="5" max="5" width="13" customWidth="1"/>
    <col min="6" max="6" width="46.140625" customWidth="1"/>
  </cols>
  <sheetData>
    <row r="1" spans="1:9" ht="18">
      <c r="A1" s="33" t="s">
        <v>23</v>
      </c>
      <c r="B1" s="33"/>
      <c r="C1" s="34"/>
      <c r="D1" s="34"/>
      <c r="E1" s="34"/>
      <c r="F1" s="34"/>
    </row>
    <row r="2" spans="1:9" ht="18">
      <c r="A2" s="35" t="s">
        <v>54</v>
      </c>
      <c r="B2" s="36"/>
      <c r="C2" s="36"/>
      <c r="D2" s="36"/>
      <c r="E2" s="36"/>
      <c r="F2" s="36"/>
      <c r="G2" s="37"/>
    </row>
    <row r="3" spans="1:9" ht="31.5" customHeight="1">
      <c r="A3" s="38" t="s">
        <v>0</v>
      </c>
      <c r="B3" s="39"/>
      <c r="C3" s="39"/>
      <c r="D3" s="39"/>
      <c r="E3" s="39"/>
      <c r="F3" s="39"/>
      <c r="G3" s="40"/>
    </row>
    <row r="4" spans="1:9" ht="15.75">
      <c r="A4" s="1"/>
      <c r="B4" s="1"/>
      <c r="C4" s="41" t="s">
        <v>24</v>
      </c>
      <c r="D4" s="41"/>
      <c r="E4" s="41"/>
      <c r="F4" s="41"/>
      <c r="G4" s="41"/>
    </row>
    <row r="5" spans="1:9" ht="15.75">
      <c r="A5" s="3" t="s">
        <v>1</v>
      </c>
      <c r="B5" s="3" t="s">
        <v>2</v>
      </c>
      <c r="C5" s="2" t="s">
        <v>3</v>
      </c>
      <c r="D5" s="41" t="s">
        <v>4</v>
      </c>
      <c r="E5" s="41"/>
      <c r="F5" s="41"/>
      <c r="G5" s="3" t="s">
        <v>5</v>
      </c>
      <c r="H5" s="4"/>
      <c r="I5" s="4"/>
    </row>
    <row r="6" spans="1:9">
      <c r="A6" s="5" t="str">
        <f>HYPERLINK("https://aws.amazon.com/ec2/pricing/","EC2")</f>
        <v>EC2</v>
      </c>
      <c r="B6" s="6">
        <v>2</v>
      </c>
      <c r="C6" s="7">
        <v>8.07</v>
      </c>
      <c r="D6" s="25" t="s">
        <v>44</v>
      </c>
      <c r="E6" s="25"/>
      <c r="F6" s="25"/>
      <c r="G6" s="23">
        <f>C6*B6</f>
        <v>16.14</v>
      </c>
      <c r="H6" t="s">
        <v>55</v>
      </c>
    </row>
    <row r="7" spans="1:9">
      <c r="A7" s="5" t="str">
        <f>HYPERLINK("https://aws.amazon.com/ec2/pricing/","EC2")</f>
        <v>EC2</v>
      </c>
      <c r="B7" s="6">
        <v>3</v>
      </c>
      <c r="C7" s="7">
        <v>4.03</v>
      </c>
      <c r="D7" s="25" t="s">
        <v>53</v>
      </c>
      <c r="E7" s="25"/>
      <c r="F7" s="25"/>
      <c r="G7" s="23">
        <f>C7*B7</f>
        <v>12.09</v>
      </c>
    </row>
    <row r="8" spans="1:9">
      <c r="A8" s="5" t="s">
        <v>25</v>
      </c>
      <c r="B8" s="6">
        <v>5</v>
      </c>
      <c r="C8" s="7">
        <v>3.6</v>
      </c>
      <c r="D8" s="26" t="s">
        <v>26</v>
      </c>
      <c r="E8" s="27"/>
      <c r="F8" s="28"/>
      <c r="G8" s="23">
        <f>C8*B8</f>
        <v>18</v>
      </c>
    </row>
    <row r="9" spans="1:9">
      <c r="A9" s="8" t="s">
        <v>6</v>
      </c>
      <c r="B9" s="9">
        <v>4</v>
      </c>
      <c r="C9" s="10">
        <v>2.74</v>
      </c>
      <c r="D9" s="29" t="s">
        <v>37</v>
      </c>
      <c r="E9" s="29"/>
      <c r="F9" s="29"/>
      <c r="G9" s="15">
        <f t="shared" ref="G9:G14" si="0">C9*B9</f>
        <v>10.96</v>
      </c>
    </row>
    <row r="10" spans="1:9">
      <c r="A10" s="8" t="s">
        <v>7</v>
      </c>
      <c r="B10" s="9">
        <v>1</v>
      </c>
      <c r="C10" s="10">
        <v>0.5</v>
      </c>
      <c r="D10" s="29" t="s">
        <v>8</v>
      </c>
      <c r="E10" s="29"/>
      <c r="F10" s="29"/>
      <c r="G10" s="15">
        <f t="shared" si="0"/>
        <v>0.5</v>
      </c>
    </row>
    <row r="11" spans="1:9">
      <c r="A11" s="8" t="s">
        <v>9</v>
      </c>
      <c r="B11" s="9">
        <v>2</v>
      </c>
      <c r="C11" s="10">
        <v>17.207999999999998</v>
      </c>
      <c r="D11" s="26" t="s">
        <v>45</v>
      </c>
      <c r="E11" s="27"/>
      <c r="F11" s="28"/>
      <c r="G11" s="15">
        <f t="shared" si="0"/>
        <v>34.415999999999997</v>
      </c>
      <c r="H11" t="s">
        <v>34</v>
      </c>
    </row>
    <row r="12" spans="1:9">
      <c r="A12" s="11" t="s">
        <v>47</v>
      </c>
      <c r="B12" s="12">
        <v>1</v>
      </c>
      <c r="C12" s="13">
        <v>35.479999999999997</v>
      </c>
      <c r="D12" s="42" t="s">
        <v>46</v>
      </c>
      <c r="E12" s="42"/>
      <c r="F12" s="42"/>
      <c r="G12" s="14">
        <f t="shared" si="0"/>
        <v>35.479999999999997</v>
      </c>
    </row>
    <row r="13" spans="1:9">
      <c r="A13" s="8" t="s">
        <v>11</v>
      </c>
      <c r="B13" s="9">
        <v>5</v>
      </c>
      <c r="C13" s="10">
        <v>0.3</v>
      </c>
      <c r="D13" s="29" t="s">
        <v>12</v>
      </c>
      <c r="E13" s="29"/>
      <c r="F13" s="29"/>
      <c r="G13" s="15">
        <f t="shared" si="0"/>
        <v>1.5</v>
      </c>
    </row>
    <row r="14" spans="1:9">
      <c r="A14" s="8" t="s">
        <v>49</v>
      </c>
      <c r="B14" s="9">
        <v>1</v>
      </c>
      <c r="C14" s="10">
        <v>30.74</v>
      </c>
      <c r="D14" s="26" t="s">
        <v>50</v>
      </c>
      <c r="E14" s="27"/>
      <c r="F14" s="28"/>
      <c r="G14" s="15">
        <f t="shared" si="0"/>
        <v>30.74</v>
      </c>
    </row>
    <row r="15" spans="1:9">
      <c r="A15" s="16"/>
      <c r="B15" s="17"/>
      <c r="C15" s="18"/>
      <c r="D15" s="30" t="s">
        <v>13</v>
      </c>
      <c r="E15" s="31"/>
      <c r="F15" s="31"/>
      <c r="G15" s="24">
        <f>SUM(G6:G14)</f>
        <v>159.82599999999999</v>
      </c>
      <c r="H15" t="str">
        <f>IF(C17&lt;&gt;SUM(G6:G14),"The totals don't add up","")</f>
        <v/>
      </c>
    </row>
    <row r="16" spans="1:9">
      <c r="A16" s="19"/>
      <c r="B16" s="19"/>
      <c r="C16" s="20"/>
    </row>
    <row r="17" spans="1:10" ht="15.75">
      <c r="A17" s="21" t="s">
        <v>14</v>
      </c>
      <c r="B17" s="21"/>
      <c r="C17" s="22">
        <f>SUM(B6*C6+B7*C7+B8*C8+B9*C9+B10*C10+B11*C11+B12*C12+B13*C13+B14*C14)</f>
        <v>159.82599999999999</v>
      </c>
    </row>
    <row r="18" spans="1:10" ht="15.75">
      <c r="A18" s="21" t="s">
        <v>15</v>
      </c>
      <c r="B18" s="21"/>
      <c r="C18" s="22">
        <f>C17/30</f>
        <v>5.3275333333333332</v>
      </c>
    </row>
    <row r="19" spans="1:10" ht="15.75">
      <c r="A19" s="21" t="s">
        <v>16</v>
      </c>
      <c r="B19" s="21"/>
      <c r="C19" s="22">
        <f>C17/720</f>
        <v>0.22198055555555554</v>
      </c>
    </row>
    <row r="21" spans="1:10">
      <c r="A21" t="s">
        <v>32</v>
      </c>
    </row>
    <row r="22" spans="1:10">
      <c r="A22" t="s">
        <v>41</v>
      </c>
    </row>
    <row r="23" spans="1:10" ht="15.75" customHeight="1">
      <c r="A23" s="32" t="s">
        <v>48</v>
      </c>
      <c r="B23" s="32"/>
      <c r="C23" s="32"/>
      <c r="D23" s="32"/>
      <c r="E23" s="32"/>
      <c r="F23" s="32"/>
      <c r="G23" s="32"/>
      <c r="H23" s="32"/>
      <c r="I23" s="32"/>
      <c r="J23" s="32"/>
    </row>
    <row r="24" spans="1:10">
      <c r="A24" s="32"/>
      <c r="B24" s="32"/>
      <c r="C24" s="32"/>
      <c r="D24" s="32"/>
      <c r="E24" s="32"/>
      <c r="F24" s="32"/>
      <c r="G24" s="32"/>
      <c r="H24" s="32"/>
      <c r="I24" s="32"/>
      <c r="J24" s="32"/>
    </row>
    <row r="25" spans="1:10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 spans="1:10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spans="1:10">
      <c r="A27" s="32"/>
      <c r="B27" s="32"/>
      <c r="C27" s="32"/>
      <c r="D27" s="32"/>
      <c r="E27" s="32"/>
      <c r="F27" s="32"/>
      <c r="G27" s="32"/>
      <c r="H27" s="32"/>
      <c r="I27" s="32"/>
      <c r="J27" s="32"/>
    </row>
    <row r="28" spans="1:10">
      <c r="A28" t="s">
        <v>18</v>
      </c>
    </row>
    <row r="30" spans="1:10">
      <c r="A30" t="s">
        <v>19</v>
      </c>
    </row>
    <row r="31" spans="1:10">
      <c r="B31" t="s">
        <v>20</v>
      </c>
    </row>
    <row r="32" spans="1:10">
      <c r="B32" t="s">
        <v>21</v>
      </c>
    </row>
    <row r="33" spans="2:2">
      <c r="B33" t="s">
        <v>22</v>
      </c>
    </row>
    <row r="34" spans="2:2">
      <c r="B34" t="s">
        <v>33</v>
      </c>
    </row>
  </sheetData>
  <mergeCells count="16">
    <mergeCell ref="D6:F6"/>
    <mergeCell ref="A1:F1"/>
    <mergeCell ref="A2:G2"/>
    <mergeCell ref="A3:G3"/>
    <mergeCell ref="C4:G4"/>
    <mergeCell ref="D5:F5"/>
    <mergeCell ref="D13:F13"/>
    <mergeCell ref="D15:F15"/>
    <mergeCell ref="A23:J27"/>
    <mergeCell ref="D14:F14"/>
    <mergeCell ref="D7:F7"/>
    <mergeCell ref="D8:F8"/>
    <mergeCell ref="D9:F9"/>
    <mergeCell ref="D10:F10"/>
    <mergeCell ref="D11:F11"/>
    <mergeCell ref="D12:F1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</vt:lpstr>
      <vt:lpstr>Initial-budgets-Prd</vt:lpstr>
      <vt:lpstr>low-budgets-Prd</vt:lpstr>
      <vt:lpstr>AWS best practices-Prd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onkar</dc:creator>
  <cp:lastModifiedBy>Onkar Gadhave</cp:lastModifiedBy>
  <dcterms:created xsi:type="dcterms:W3CDTF">2015-06-05T18:17:20Z</dcterms:created>
  <dcterms:modified xsi:type="dcterms:W3CDTF">2025-09-29T14:51:03Z</dcterms:modified>
</cp:coreProperties>
</file>